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mily\OneDrive\Documents\mamaearth_marketing_analysis\"/>
    </mc:Choice>
  </mc:AlternateContent>
  <xr:revisionPtr revIDLastSave="0" documentId="13_ncr:1_{A51B3F2C-703D-451D-AB5D-1744CF84BDD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Dashboard" sheetId="1" r:id="rId1"/>
    <sheet name="Creative" sheetId="2" r:id="rId2"/>
    <sheet name="Sales" sheetId="3" r:id="rId3"/>
    <sheet name="Analytics" sheetId="4" r:id="rId4"/>
    <sheet name="HR" sheetId="5" r:id="rId5"/>
    <sheet name="IT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6" l="1"/>
  <c r="G11" i="6" s="1"/>
  <c r="D11" i="6"/>
  <c r="C11" i="6"/>
  <c r="F11" i="6" s="1"/>
  <c r="B11" i="6"/>
  <c r="G10" i="6"/>
  <c r="F10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6"/>
  <c r="G2" i="6"/>
  <c r="F2" i="6"/>
  <c r="E11" i="5"/>
  <c r="D11" i="5"/>
  <c r="C11" i="5"/>
  <c r="F11" i="5" s="1"/>
  <c r="D10" i="1" s="1"/>
  <c r="G10" i="1" s="1"/>
  <c r="B11" i="5"/>
  <c r="F10" i="5"/>
  <c r="F9" i="5"/>
  <c r="F8" i="5"/>
  <c r="F7" i="5"/>
  <c r="F6" i="5"/>
  <c r="F5" i="5"/>
  <c r="F4" i="5"/>
  <c r="F3" i="5"/>
  <c r="F2" i="5"/>
  <c r="E8" i="4"/>
  <c r="D8" i="4"/>
  <c r="C8" i="4"/>
  <c r="B8" i="4"/>
  <c r="F8" i="4" s="1"/>
  <c r="F7" i="4"/>
  <c r="E7" i="4"/>
  <c r="F6" i="4"/>
  <c r="E6" i="4"/>
  <c r="F5" i="4"/>
  <c r="E5" i="4"/>
  <c r="F4" i="4"/>
  <c r="E4" i="4"/>
  <c r="F3" i="4"/>
  <c r="E3" i="4"/>
  <c r="F2" i="4"/>
  <c r="E2" i="4"/>
  <c r="H11" i="3"/>
  <c r="F11" i="3"/>
  <c r="E11" i="3"/>
  <c r="D11" i="3"/>
  <c r="C11" i="3"/>
  <c r="G11" i="3" s="1"/>
  <c r="D8" i="1" s="1"/>
  <c r="G8" i="1" s="1"/>
  <c r="B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  <c r="E11" i="2"/>
  <c r="G11" i="2" s="1"/>
  <c r="D6" i="1" s="1"/>
  <c r="G6" i="1" s="1"/>
  <c r="D11" i="2"/>
  <c r="C11" i="2"/>
  <c r="B11" i="2"/>
  <c r="F11" i="2" s="1"/>
  <c r="D5" i="1" s="1"/>
  <c r="G5" i="1" s="1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G11" i="1"/>
  <c r="D11" i="1"/>
  <c r="G9" i="1"/>
  <c r="D9" i="1"/>
  <c r="G7" i="1"/>
  <c r="D7" i="1"/>
</calcChain>
</file>

<file path=xl/sharedStrings.xml><?xml version="1.0" encoding="utf-8"?>
<sst xmlns="http://schemas.openxmlformats.org/spreadsheetml/2006/main" count="109" uniqueCount="67">
  <si>
    <t>Agency Internal Report - Jan-Sep 2026</t>
  </si>
  <si>
    <t>Department</t>
  </si>
  <si>
    <t>KPI</t>
  </si>
  <si>
    <t>Actual</t>
  </si>
  <si>
    <t>Target</t>
  </si>
  <si>
    <t>Better when</t>
  </si>
  <si>
    <t>Status</t>
  </si>
  <si>
    <t>Creative</t>
  </si>
  <si>
    <t>On-time delivery %</t>
  </si>
  <si>
    <t>Higher</t>
  </si>
  <si>
    <t>Team utilisation %</t>
  </si>
  <si>
    <t>Lower</t>
  </si>
  <si>
    <t>Sales</t>
  </si>
  <si>
    <t>Revenue vs target</t>
  </si>
  <si>
    <t>Win rate</t>
  </si>
  <si>
    <t>Analytics</t>
  </si>
  <si>
    <t>Blended ROAS</t>
  </si>
  <si>
    <t>HR</t>
  </si>
  <si>
    <t>Attrition YTD</t>
  </si>
  <si>
    <t>IT</t>
  </si>
  <si>
    <t>Spend vs budget</t>
  </si>
  <si>
    <t>Month</t>
  </si>
  <si>
    <t>Projects Delivered</t>
  </si>
  <si>
    <t>Delivered On Time</t>
  </si>
  <si>
    <t>Available Hours</t>
  </si>
  <si>
    <t>Billable Hours</t>
  </si>
  <si>
    <t>On-Time %</t>
  </si>
  <si>
    <t>Utilisation 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</si>
  <si>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</si>
  <si>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</si>
  <si>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</si>
  <si>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</si>
  <si>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</si>
  <si>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</si>
  <si>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</si>
  <si>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</si>
  <si>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</si>
  <si>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YTD</t>
  </si>
  <si>
    <t>Leads</t>
  </si>
  <si>
    <t>Deals Won</t>
  </si>
  <si>
    <t>Deals Lost</t>
  </si>
  <si>
    <t>Revenue (Rs Lakh)</t>
  </si>
  <si>
    <t>Target (Rs Lakh)</t>
  </si>
  <si>
    <t>Win Rate</t>
  </si>
  <si>
    <t>Target Achievement %</t>
  </si>
  <si>
    <t>Channel</t>
  </si>
  <si>
    <t>Spend (Rs Lakh)</t>
  </si>
  <si>
    <t>ROAS (Revenue/Spend)</t>
  </si>
  <si>
    <t>CPL (Rs) = Spend x 100000 / Leads</t>
  </si>
  <si>
    <t>Google Ads</t>
  </si>
  <si>
    <t>Meta Ads</t>
  </si>
  <si>
    <t>LinkedIn Ads</t>
  </si>
  <si>
    <t>Email</t>
  </si>
  <si>
    <t>SEO</t>
  </si>
  <si>
    <t>Influencer</t>
  </si>
  <si>
    <t>Total</t>
  </si>
  <si>
    <t>New Hires</t>
  </si>
  <si>
    <t>Exits</t>
  </si>
  <si>
    <t>Closing Headcount</t>
  </si>
  <si>
    <t>Engagement Score (0-100)</t>
  </si>
  <si>
    <t>Attrition % (Exits/Headcount)</t>
  </si>
  <si>
    <t>Tickets Raised</t>
  </si>
  <si>
    <t>Tickets Resolved</t>
  </si>
  <si>
    <t>IT Budget (Rs Lakh)</t>
  </si>
  <si>
    <t>Actual Spend (Rs Lakh)</t>
  </si>
  <si>
    <t>Resolution %</t>
  </si>
  <si>
    <t>Budget Variance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</si>
</sst>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\x"/>
    <numFmt numFmtId="166" formatCode="&quot;Rs &quot;#,##0"/>
  </numFmts>
  <fonts count="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2"/>
      <color rgb="FF1F386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0" xfId="0" applyFont="1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164" fontId="4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166" fontId="4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vs Target (Rs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Sales!$E$1</c:f>
              <c:strCache>
                <c:ptCount val="1"/>
                <c:pt idx="0">
                  <c:v>Revenue (Rs Lakh)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Sales!$A$2:$A$10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Sales!$E$2:$E$10</c:f>
              <c:numCache>
                <c:formatCode>General</c:formatCode>
                <c:ptCount val="9"/>
                <c:pt idx="0">
                  <c:v>88</c:v>
                </c:pt>
                <c:pt idx="1">
                  <c:v>98</c:v>
                </c:pt>
                <c:pt idx="2">
                  <c:v>108</c:v>
                </c:pt>
                <c:pt idx="3">
                  <c:v>104</c:v>
                </c:pt>
                <c:pt idx="4">
                  <c:v>121</c:v>
                </c:pt>
                <c:pt idx="5">
                  <c:v>118</c:v>
                </c:pt>
                <c:pt idx="6">
                  <c:v>110</c:v>
                </c:pt>
                <c:pt idx="7">
                  <c:v>102</c:v>
                </c:pt>
                <c:pt idx="8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B-4178-A91F-3654D759F510}"/>
            </c:ext>
          </c:extLst>
        </c:ser>
        <c:ser>
          <c:idx val="1"/>
          <c:order val="1"/>
          <c:tx>
            <c:strRef>
              <c:f>Sales!$F$1</c:f>
              <c:strCache>
                <c:ptCount val="1"/>
                <c:pt idx="0">
                  <c:v>Target (Rs Lakh)</c:v>
                </c:pt>
              </c:strCache>
            </c:strRef>
          </c:tx>
          <c:spPr>
            <a:solidFill>
              <a:srgbClr val="A6A6A6"/>
            </a:solidFill>
            <a:ln w="0">
              <a:solidFill>
                <a:srgbClr val="A6A6A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Sales!$A$2:$A$10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Sales!$F$2:$F$10</c:f>
              <c:numCache>
                <c:formatCode>General</c:formatCode>
                <c:ptCount val="9"/>
                <c:pt idx="0">
                  <c:v>85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105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1B-4178-A91F-3654D759F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151261"/>
        <c:axId val="49836279"/>
      </c:barChart>
      <c:catAx>
        <c:axId val="481512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836279"/>
        <c:crosses val="autoZero"/>
        <c:auto val="1"/>
        <c:lblAlgn val="ctr"/>
        <c:lblOffset val="100"/>
        <c:noMultiLvlLbl val="0"/>
      </c:catAx>
      <c:valAx>
        <c:axId val="498362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1512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ROAS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Analytics!$E$1</c:f>
              <c:strCache>
                <c:ptCount val="1"/>
                <c:pt idx="0">
                  <c:v>ROAS (Revenue/Spend)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Analytics!$A$2:$A$7</c:f>
              <c:strCache>
                <c:ptCount val="6"/>
                <c:pt idx="0">
                  <c:v>Google Ads</c:v>
                </c:pt>
                <c:pt idx="1">
                  <c:v>Meta Ads</c:v>
                </c:pt>
                <c:pt idx="2">
                  <c:v>LinkedIn Ads</c:v>
                </c:pt>
                <c:pt idx="3">
                  <c:v>Email</c:v>
                </c:pt>
                <c:pt idx="4">
                  <c:v>SEO</c:v>
                </c:pt>
                <c:pt idx="5">
                  <c:v>Influencer</c:v>
                </c:pt>
              </c:strCache>
            </c:strRef>
          </c:cat>
          <c:val>
            <c:numRef>
              <c:f>Analytics!$E$2:$E$7</c:f>
              <c:numCache>
                <c:formatCode>0.00\x</c:formatCode>
                <c:ptCount val="6"/>
                <c:pt idx="0">
                  <c:v>3.5952380952380953</c:v>
                </c:pt>
                <c:pt idx="1">
                  <c:v>1.4</c:v>
                </c:pt>
                <c:pt idx="2">
                  <c:v>2.5</c:v>
                </c:pt>
                <c:pt idx="3">
                  <c:v>6.333333333333333</c:v>
                </c:pt>
                <c:pt idx="4">
                  <c:v>5.1428571428571432</c:v>
                </c:pt>
                <c:pt idx="5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C-4DCD-9CCA-218123E40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874708"/>
        <c:axId val="17628430"/>
      </c:barChart>
      <c:catAx>
        <c:axId val="898747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628430"/>
        <c:crosses val="autoZero"/>
        <c:auto val="1"/>
        <c:lblAlgn val="ctr"/>
        <c:lblOffset val="100"/>
        <c:noMultiLvlLbl val="0"/>
      </c:catAx>
      <c:valAx>
        <c:axId val="17628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8747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4</xdr:col>
      <xdr:colOff>380160</xdr:colOff>
      <xdr:row>27</xdr:row>
      <xdr:rowOff>32400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4</xdr:col>
      <xdr:colOff>380160</xdr:colOff>
      <xdr:row>44</xdr:row>
      <xdr:rowOff>32400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51"/>
  <sheetViews>
    <sheetView showGridLines="0" tabSelected="1" topLeftCell="A10" zoomScale="78" zoomScaleNormal="100" workbookViewId="0">
      <selection activeCell="L19" sqref="L19"/>
    </sheetView>
  </sheetViews>
  <sheetFormatPr defaultColWidth="8.6640625" defaultRowHeight="14.4" x14ac:dyDescent="0.3"/>
  <cols>
    <col min="1" max="1" width="2" customWidth="1"/>
    <col min="2" max="2" width="14" customWidth="1"/>
    <col min="3" max="3" width="34" customWidth="1"/>
    <col min="4" max="5" width="13" customWidth="1"/>
    <col min="6" max="6" width="14" customWidth="1"/>
    <col min="7" max="7" width="13" customWidth="1"/>
    <col min="8" max="8" width="2" customWidth="1"/>
  </cols>
  <sheetData>
    <row r="1" spans="2:7" ht="30" customHeight="1" x14ac:dyDescent="0.4">
      <c r="B1" s="2" t="s">
        <v>0</v>
      </c>
      <c r="C1" s="2"/>
      <c r="D1" s="2"/>
      <c r="E1" s="2"/>
      <c r="F1" s="2"/>
      <c r="G1" s="2"/>
    </row>
    <row r="2" spans="2:7" x14ac:dyDescent="0.3">
      <c r="B2" s="3"/>
    </row>
    <row r="4" spans="2:7" x14ac:dyDescent="0.3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spans="2:7" x14ac:dyDescent="0.3">
      <c r="B5" s="5" t="s">
        <v>7</v>
      </c>
      <c r="C5" s="6" t="s">
        <v>8</v>
      </c>
      <c r="D5" s="7">
        <f>Creative!F11</f>
        <v>0.85681818181818181</v>
      </c>
      <c r="E5" s="8">
        <v>0.9</v>
      </c>
      <c r="F5" s="9" t="s">
        <v>9</v>
      </c>
      <c r="G5" s="5" t="str">
        <f t="shared" ref="G5:G11" si="0">IF(F5="Higher",IF(D5&gt;=E5,"On Track","Off Track"),IF(D5&lt;=E5,"On Track","Off Track"))</f>
        <v>Off Track</v>
      </c>
    </row>
    <row r="6" spans="2:7" x14ac:dyDescent="0.3">
      <c r="B6" s="5" t="s">
        <v>7</v>
      </c>
      <c r="C6" s="6" t="s">
        <v>10</v>
      </c>
      <c r="D6" s="7">
        <f>Creative!G11</f>
        <v>0.89978448275862066</v>
      </c>
      <c r="E6" s="8">
        <v>0.85</v>
      </c>
      <c r="F6" s="9" t="s">
        <v>11</v>
      </c>
      <c r="G6" s="5" t="str">
        <f t="shared" si="0"/>
        <v>Off Track</v>
      </c>
    </row>
    <row r="7" spans="2:7" x14ac:dyDescent="0.3">
      <c r="B7" s="5" t="s">
        <v>12</v>
      </c>
      <c r="C7" s="6" t="s">
        <v>13</v>
      </c>
      <c r="D7" s="7">
        <f>Sales!H11</f>
        <v>1.0619565217391305</v>
      </c>
      <c r="E7" s="8">
        <v>1</v>
      </c>
      <c r="F7" s="9" t="s">
        <v>9</v>
      </c>
      <c r="G7" s="5" t="str">
        <f t="shared" si="0"/>
        <v>On Track</v>
      </c>
    </row>
    <row r="8" spans="2:7" x14ac:dyDescent="0.3">
      <c r="B8" s="5" t="s">
        <v>12</v>
      </c>
      <c r="C8" s="6" t="s">
        <v>14</v>
      </c>
      <c r="D8" s="7">
        <f>Sales!G11</f>
        <v>0.35328467153284671</v>
      </c>
      <c r="E8" s="8">
        <v>0.38</v>
      </c>
      <c r="F8" s="9" t="s">
        <v>9</v>
      </c>
      <c r="G8" s="5" t="str">
        <f t="shared" si="0"/>
        <v>Off Track</v>
      </c>
    </row>
    <row r="9" spans="2:7" x14ac:dyDescent="0.3">
      <c r="B9" s="5" t="s">
        <v>15</v>
      </c>
      <c r="C9" s="6" t="s">
        <v>16</v>
      </c>
      <c r="D9" s="10">
        <f>Analytics!E8</f>
        <v>2.6181818181818182</v>
      </c>
      <c r="E9" s="11">
        <v>3</v>
      </c>
      <c r="F9" s="9" t="s">
        <v>9</v>
      </c>
      <c r="G9" s="5" t="str">
        <f t="shared" si="0"/>
        <v>Off Track</v>
      </c>
    </row>
    <row r="10" spans="2:7" x14ac:dyDescent="0.3">
      <c r="B10" s="5" t="s">
        <v>17</v>
      </c>
      <c r="C10" s="6" t="s">
        <v>18</v>
      </c>
      <c r="D10" s="7">
        <f>HR!F11</f>
        <v>0.1875</v>
      </c>
      <c r="E10" s="8">
        <v>0.12</v>
      </c>
      <c r="F10" s="9" t="s">
        <v>11</v>
      </c>
      <c r="G10" s="5" t="str">
        <f t="shared" si="0"/>
        <v>Off Track</v>
      </c>
    </row>
    <row r="11" spans="2:7" x14ac:dyDescent="0.3">
      <c r="B11" s="5" t="s">
        <v>19</v>
      </c>
      <c r="C11" s="6" t="s">
        <v>20</v>
      </c>
      <c r="D11" s="7">
        <f>IT!E11/IT!D11</f>
        <v>1.0538011695906433</v>
      </c>
      <c r="E11" s="8">
        <v>1</v>
      </c>
      <c r="F11" s="9" t="s">
        <v>11</v>
      </c>
      <c r="G11" s="5" t="str">
        <f t="shared" si="0"/>
        <v>Off Track</v>
      </c>
    </row>
    <row r="48" spans="2:2" ht="15.6" x14ac:dyDescent="0.3">
      <c r="B48" s="12"/>
    </row>
    <row r="49" spans="2:7" ht="45" customHeight="1" x14ac:dyDescent="0.3">
      <c r="B49" s="1"/>
      <c r="C49" s="1"/>
      <c r="D49" s="1"/>
      <c r="E49" s="1"/>
      <c r="F49" s="1"/>
      <c r="G49" s="1"/>
    </row>
    <row r="50" spans="2:7" ht="45" customHeight="1" x14ac:dyDescent="0.3">
      <c r="B50" s="1"/>
      <c r="C50" s="1"/>
      <c r="D50" s="1"/>
      <c r="E50" s="1"/>
      <c r="F50" s="1"/>
      <c r="G50" s="1"/>
    </row>
    <row r="51" spans="2:7" ht="45" customHeight="1" x14ac:dyDescent="0.3">
      <c r="B51" s="1"/>
      <c r="C51" s="1"/>
      <c r="D51" s="1"/>
      <c r="E51" s="1"/>
      <c r="F51" s="1"/>
      <c r="G51" s="1"/>
    </row>
  </sheetData>
  <mergeCells count="4">
    <mergeCell ref="B1:G1"/>
    <mergeCell ref="B49:G49"/>
    <mergeCell ref="B50:G50"/>
    <mergeCell ref="B51:G51"/>
  </mergeCells>
  <conditionalFormatting sqref="G5:G11">
    <cfRule type="cellIs" dxfId="1" priority="2" operator="equal">
      <formula>"On Track"</formula>
    </cfRule>
    <cfRule type="cellIs" dxfId="0" priority="3" operator="equal">
      <formula>"Off Track"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4" customWidth="1"/>
    <col min="2" max="7" width="18" customWidth="1"/>
  </cols>
  <sheetData>
    <row r="1" spans="1:7" ht="31.5" customHeight="1" x14ac:dyDescent="0.3">
      <c r="A1" s="13" t="s">
        <v>21</v>
      </c>
      <c r="B1" s="13" t="s">
        <v>22</v>
      </c>
      <c r="C1" s="13" t="s">
        <v>23</v>
      </c>
      <c r="D1" s="13" t="s">
        <v>24</v>
      </c>
      <c r="E1" s="13" t="s">
        <v>25</v>
      </c>
      <c r="F1" s="14" t="s">
        <v>26</v>
      </c>
      <c r="G1" s="14" t="s">
        <v>27</v>
      </c>
    </row>
    <row r="2" spans="1:7" x14ac:dyDescent="0.3">
      <c r="A2" s="15" t="s">
        <v>28</v>
      </c>
      <c r="B2" s="16">
        <v>40</v>
      </c>
      <c r="C2" s="16">
        <v>37</v>
      </c>
      <c r="D2" s="16">
        <v>3200</v>
      </c>
      <c r="E2" s="16">
        <v>2560</v>
      </c>
      <c r="F2" s="17">
        <f t="shared" ref="F2:F11" si="0">C2/B2</f>
        <v>0.92500000000000004</v>
      </c>
      <c r="G2" s="17">
        <f t="shared" ref="G2:G11" si="1">E2/D2</f>
        <v>0.8</v>
      </c>
    </row>
    <row r="3" spans="1:7" x14ac:dyDescent="0.3">
      <c r="A3" s="15" t="s">
        <v>29</v>
      </c>
      <c r="B3" s="16">
        <v>43</v>
      </c>
      <c r="C3" s="16">
        <v>39</v>
      </c>
      <c r="D3" s="16">
        <v>3200</v>
      </c>
      <c r="E3" s="16">
        <v>2660</v>
      </c>
      <c r="F3" s="17">
        <f t="shared" si="0"/>
        <v>0.90697674418604646</v>
      </c>
      <c r="G3" s="17">
        <f t="shared" si="1"/>
        <v>0.83125000000000004</v>
      </c>
    </row>
    <row r="4" spans="1:7" x14ac:dyDescent="0.3">
      <c r="A4" s="15" t="s">
        <v>30</v>
      </c>
      <c r="B4" s="16">
        <v>47</v>
      </c>
      <c r="C4" s="16">
        <v>42</v>
      </c>
      <c r="D4" s="16">
        <v>3200</v>
      </c>
      <c r="E4" s="16">
        <v>2780</v>
      </c>
      <c r="F4" s="17">
        <f t="shared" si="0"/>
        <v>0.8936170212765957</v>
      </c>
      <c r="G4" s="17">
        <f t="shared" si="1"/>
        <v>0.86875000000000002</v>
      </c>
    </row>
    <row r="5" spans="1:7" x14ac:dyDescent="0.3">
      <c r="A5" s="15" t="s">
        <v>31</v>
      </c>
      <c r="B5" s="16">
        <v>46</v>
      </c>
      <c r="C5" s="16">
        <v>40</v>
      </c>
      <c r="D5" s="16">
        <v>3200</v>
      </c>
      <c r="E5" s="16">
        <v>2820</v>
      </c>
      <c r="F5" s="17">
        <f t="shared" si="0"/>
        <v>0.86956521739130432</v>
      </c>
      <c r="G5" s="17">
        <f t="shared" si="1"/>
        <v>0.88124999999999998</v>
      </c>
    </row>
    <row r="6" spans="1:7" x14ac:dyDescent="0.3">
      <c r="A6" s="15" t="s">
        <v>32</v>
      </c>
      <c r="B6" s="16">
        <v>52</v>
      </c>
      <c r="C6" s="16">
        <v>44</v>
      </c>
      <c r="D6" s="16">
        <v>3200</v>
      </c>
      <c r="E6" s="16">
        <v>2950</v>
      </c>
      <c r="F6" s="17">
        <f t="shared" si="0"/>
        <v>0.84615384615384615</v>
      </c>
      <c r="G6" s="17">
        <f t="shared" si="1"/>
        <v>0.921875</v>
      </c>
    </row>
    <row r="7" spans="1:7" x14ac:dyDescent="0.3">
      <c r="A7" s="15" t="s">
        <v>33</v>
      </c>
      <c r="B7" s="16">
        <v>55</v>
      </c>
      <c r="C7" s="16">
        <v>45</v>
      </c>
      <c r="D7" s="16">
        <v>3040</v>
      </c>
      <c r="E7" s="16">
        <v>2860</v>
      </c>
      <c r="F7" s="17">
        <f t="shared" si="0"/>
        <v>0.81818181818181823</v>
      </c>
      <c r="G7" s="17">
        <f t="shared" si="1"/>
        <v>0.94078947368421051</v>
      </c>
    </row>
    <row r="8" spans="1:7" x14ac:dyDescent="0.3">
      <c r="A8" s="15" t="s">
        <v>34</v>
      </c>
      <c r="B8" s="16">
        <v>53</v>
      </c>
      <c r="C8" s="16">
        <v>43</v>
      </c>
      <c r="D8" s="16">
        <v>2880</v>
      </c>
      <c r="E8" s="16">
        <v>2800</v>
      </c>
      <c r="F8" s="17">
        <f t="shared" si="0"/>
        <v>0.81132075471698117</v>
      </c>
      <c r="G8" s="17">
        <f t="shared" si="1"/>
        <v>0.97222222222222221</v>
      </c>
    </row>
    <row r="9" spans="1:7" x14ac:dyDescent="0.3">
      <c r="A9" s="15" t="s">
        <v>35</v>
      </c>
      <c r="B9" s="16">
        <v>50</v>
      </c>
      <c r="C9" s="16">
        <v>41</v>
      </c>
      <c r="D9" s="16">
        <v>2880</v>
      </c>
      <c r="E9" s="16">
        <v>2760</v>
      </c>
      <c r="F9" s="17">
        <f t="shared" si="0"/>
        <v>0.82</v>
      </c>
      <c r="G9" s="17">
        <f t="shared" si="1"/>
        <v>0.95833333333333337</v>
      </c>
    </row>
    <row r="10" spans="1:7" x14ac:dyDescent="0.3">
      <c r="A10" s="15" t="s">
        <v>36</v>
      </c>
      <c r="B10" s="16">
        <v>54</v>
      </c>
      <c r="C10" s="16">
        <v>46</v>
      </c>
      <c r="D10" s="16">
        <v>3040</v>
      </c>
      <c r="E10" s="16">
        <v>2860</v>
      </c>
      <c r="F10" s="17">
        <f t="shared" si="0"/>
        <v>0.85185185185185186</v>
      </c>
      <c r="G10" s="17">
        <f t="shared" si="1"/>
        <v>0.94078947368421051</v>
      </c>
    </row>
    <row r="11" spans="1:7" x14ac:dyDescent="0.3">
      <c r="A11" s="18" t="s">
        <v>37</v>
      </c>
      <c r="B11" s="19">
        <f>SUM(B2:B10)</f>
        <v>440</v>
      </c>
      <c r="C11" s="19">
        <f>SUM(C2:C10)</f>
        <v>377</v>
      </c>
      <c r="D11" s="19">
        <f>SUM(D2:D10)</f>
        <v>27840</v>
      </c>
      <c r="E11" s="19">
        <f>SUM(E2:E10)</f>
        <v>25050</v>
      </c>
      <c r="F11" s="20">
        <f t="shared" si="0"/>
        <v>0.85681818181818181</v>
      </c>
      <c r="G11" s="20">
        <f t="shared" si="1"/>
        <v>0.89978448275862066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8" width="18" customWidth="1"/>
  </cols>
  <sheetData>
    <row r="1" spans="1:8" ht="31.5" customHeight="1" x14ac:dyDescent="0.3">
      <c r="A1" s="13" t="s">
        <v>21</v>
      </c>
      <c r="B1" s="13" t="s">
        <v>38</v>
      </c>
      <c r="C1" s="13" t="s">
        <v>39</v>
      </c>
      <c r="D1" s="13" t="s">
        <v>40</v>
      </c>
      <c r="E1" s="13" t="s">
        <v>41</v>
      </c>
      <c r="F1" s="13" t="s">
        <v>42</v>
      </c>
      <c r="G1" s="14" t="s">
        <v>43</v>
      </c>
      <c r="H1" s="14" t="s">
        <v>44</v>
      </c>
    </row>
    <row r="2" spans="1:8" x14ac:dyDescent="0.3">
      <c r="A2" s="15" t="s">
        <v>28</v>
      </c>
      <c r="B2" s="16">
        <v>320</v>
      </c>
      <c r="C2" s="16">
        <v>22</v>
      </c>
      <c r="D2" s="16">
        <v>41</v>
      </c>
      <c r="E2" s="16">
        <v>88</v>
      </c>
      <c r="F2" s="16">
        <v>85</v>
      </c>
      <c r="G2" s="17">
        <f t="shared" ref="G2:G11" si="0">C2/(C2+D2)</f>
        <v>0.34920634920634919</v>
      </c>
      <c r="H2" s="17">
        <f t="shared" ref="H2:H11" si="1">E2/F2</f>
        <v>1.0352941176470589</v>
      </c>
    </row>
    <row r="3" spans="1:8" x14ac:dyDescent="0.3">
      <c r="A3" s="15" t="s">
        <v>29</v>
      </c>
      <c r="B3" s="16">
        <v>340</v>
      </c>
      <c r="C3" s="16">
        <v>25</v>
      </c>
      <c r="D3" s="16">
        <v>43</v>
      </c>
      <c r="E3" s="16">
        <v>98</v>
      </c>
      <c r="F3" s="16">
        <v>90</v>
      </c>
      <c r="G3" s="17">
        <f t="shared" si="0"/>
        <v>0.36764705882352944</v>
      </c>
      <c r="H3" s="17">
        <f t="shared" si="1"/>
        <v>1.0888888888888888</v>
      </c>
    </row>
    <row r="4" spans="1:8" x14ac:dyDescent="0.3">
      <c r="A4" s="15" t="s">
        <v>30</v>
      </c>
      <c r="B4" s="16">
        <v>360</v>
      </c>
      <c r="C4" s="16">
        <v>27</v>
      </c>
      <c r="D4" s="16">
        <v>44</v>
      </c>
      <c r="E4" s="16">
        <v>108</v>
      </c>
      <c r="F4" s="16">
        <v>95</v>
      </c>
      <c r="G4" s="17">
        <f t="shared" si="0"/>
        <v>0.38028169014084506</v>
      </c>
      <c r="H4" s="17">
        <f t="shared" si="1"/>
        <v>1.1368421052631579</v>
      </c>
    </row>
    <row r="5" spans="1:8" x14ac:dyDescent="0.3">
      <c r="A5" s="15" t="s">
        <v>31</v>
      </c>
      <c r="B5" s="16">
        <v>355</v>
      </c>
      <c r="C5" s="16">
        <v>26</v>
      </c>
      <c r="D5" s="16">
        <v>47</v>
      </c>
      <c r="E5" s="16">
        <v>104</v>
      </c>
      <c r="F5" s="16">
        <v>100</v>
      </c>
      <c r="G5" s="17">
        <f t="shared" si="0"/>
        <v>0.35616438356164382</v>
      </c>
      <c r="H5" s="17">
        <f t="shared" si="1"/>
        <v>1.04</v>
      </c>
    </row>
    <row r="6" spans="1:8" x14ac:dyDescent="0.3">
      <c r="A6" s="15" t="s">
        <v>32</v>
      </c>
      <c r="B6" s="16">
        <v>390</v>
      </c>
      <c r="C6" s="16">
        <v>30</v>
      </c>
      <c r="D6" s="16">
        <v>50</v>
      </c>
      <c r="E6" s="16">
        <v>121</v>
      </c>
      <c r="F6" s="16">
        <v>105</v>
      </c>
      <c r="G6" s="17">
        <f t="shared" si="0"/>
        <v>0.375</v>
      </c>
      <c r="H6" s="17">
        <f t="shared" si="1"/>
        <v>1.1523809523809523</v>
      </c>
    </row>
    <row r="7" spans="1:8" x14ac:dyDescent="0.3">
      <c r="A7" s="15" t="s">
        <v>33</v>
      </c>
      <c r="B7" s="16">
        <v>410</v>
      </c>
      <c r="C7" s="16">
        <v>29</v>
      </c>
      <c r="D7" s="16">
        <v>54</v>
      </c>
      <c r="E7" s="16">
        <v>118</v>
      </c>
      <c r="F7" s="16">
        <v>110</v>
      </c>
      <c r="G7" s="17">
        <f t="shared" si="0"/>
        <v>0.3493975903614458</v>
      </c>
      <c r="H7" s="17">
        <f t="shared" si="1"/>
        <v>1.0727272727272728</v>
      </c>
    </row>
    <row r="8" spans="1:8" x14ac:dyDescent="0.3">
      <c r="A8" s="15" t="s">
        <v>34</v>
      </c>
      <c r="B8" s="16">
        <v>400</v>
      </c>
      <c r="C8" s="16">
        <v>27</v>
      </c>
      <c r="D8" s="16">
        <v>55</v>
      </c>
      <c r="E8" s="16">
        <v>110</v>
      </c>
      <c r="F8" s="16">
        <v>110</v>
      </c>
      <c r="G8" s="17">
        <f t="shared" si="0"/>
        <v>0.32926829268292684</v>
      </c>
      <c r="H8" s="17">
        <f t="shared" si="1"/>
        <v>1</v>
      </c>
    </row>
    <row r="9" spans="1:8" x14ac:dyDescent="0.3">
      <c r="A9" s="15" t="s">
        <v>35</v>
      </c>
      <c r="B9" s="16">
        <v>385</v>
      </c>
      <c r="C9" s="16">
        <v>25</v>
      </c>
      <c r="D9" s="16">
        <v>57</v>
      </c>
      <c r="E9" s="16">
        <v>102</v>
      </c>
      <c r="F9" s="16">
        <v>110</v>
      </c>
      <c r="G9" s="17">
        <f t="shared" si="0"/>
        <v>0.3048780487804878</v>
      </c>
      <c r="H9" s="17">
        <f t="shared" si="1"/>
        <v>0.92727272727272725</v>
      </c>
    </row>
    <row r="10" spans="1:8" x14ac:dyDescent="0.3">
      <c r="A10" s="15" t="s">
        <v>36</v>
      </c>
      <c r="B10" s="16">
        <v>420</v>
      </c>
      <c r="C10" s="16">
        <v>31</v>
      </c>
      <c r="D10" s="16">
        <v>52</v>
      </c>
      <c r="E10" s="16">
        <v>128</v>
      </c>
      <c r="F10" s="16">
        <v>115</v>
      </c>
      <c r="G10" s="17">
        <f t="shared" si="0"/>
        <v>0.37349397590361444</v>
      </c>
      <c r="H10" s="17">
        <f t="shared" si="1"/>
        <v>1.1130434782608696</v>
      </c>
    </row>
    <row r="11" spans="1:8" x14ac:dyDescent="0.3">
      <c r="A11" s="18" t="s">
        <v>37</v>
      </c>
      <c r="B11" s="19">
        <f>SUM(B2:B10)</f>
        <v>3380</v>
      </c>
      <c r="C11" s="19">
        <f>SUM(C2:C10)</f>
        <v>242</v>
      </c>
      <c r="D11" s="19">
        <f>SUM(D2:D10)</f>
        <v>443</v>
      </c>
      <c r="E11" s="19">
        <f>SUM(E2:E10)</f>
        <v>977</v>
      </c>
      <c r="F11" s="19">
        <f>SUM(F2:F10)</f>
        <v>920</v>
      </c>
      <c r="G11" s="20">
        <f t="shared" si="0"/>
        <v>0.35328467153284671</v>
      </c>
      <c r="H11" s="20">
        <f t="shared" si="1"/>
        <v>1.0619565217391305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zoomScaleNormal="100" workbookViewId="0"/>
  </sheetViews>
  <sheetFormatPr defaultColWidth="8.6640625" defaultRowHeight="14.4" x14ac:dyDescent="0.3"/>
  <cols>
    <col min="1" max="6" width="18" customWidth="1"/>
  </cols>
  <sheetData>
    <row r="1" spans="1:6" ht="31.5" customHeight="1" x14ac:dyDescent="0.3">
      <c r="A1" s="13" t="s">
        <v>45</v>
      </c>
      <c r="B1" s="13" t="s">
        <v>46</v>
      </c>
      <c r="C1" s="13" t="s">
        <v>38</v>
      </c>
      <c r="D1" s="13" t="s">
        <v>41</v>
      </c>
      <c r="E1" s="14" t="s">
        <v>47</v>
      </c>
      <c r="F1" s="14" t="s">
        <v>48</v>
      </c>
    </row>
    <row r="2" spans="1:6" x14ac:dyDescent="0.3">
      <c r="A2" s="15" t="s">
        <v>49</v>
      </c>
      <c r="B2" s="16">
        <v>42</v>
      </c>
      <c r="C2" s="16">
        <v>5400</v>
      </c>
      <c r="D2" s="16">
        <v>151</v>
      </c>
      <c r="E2" s="21">
        <f t="shared" ref="E2:E8" si="0">D2/B2</f>
        <v>3.5952380952380953</v>
      </c>
      <c r="F2" s="22">
        <f t="shared" ref="F2:F8" si="1">B2*100000/C2</f>
        <v>777.77777777777783</v>
      </c>
    </row>
    <row r="3" spans="1:6" x14ac:dyDescent="0.3">
      <c r="A3" s="15" t="s">
        <v>50</v>
      </c>
      <c r="B3" s="16">
        <v>55</v>
      </c>
      <c r="C3" s="16">
        <v>4900</v>
      </c>
      <c r="D3" s="16">
        <v>77</v>
      </c>
      <c r="E3" s="21">
        <f t="shared" si="0"/>
        <v>1.4</v>
      </c>
      <c r="F3" s="22">
        <f t="shared" si="1"/>
        <v>1122.4489795918366</v>
      </c>
    </row>
    <row r="4" spans="1:6" x14ac:dyDescent="0.3">
      <c r="A4" s="15" t="s">
        <v>51</v>
      </c>
      <c r="B4" s="16">
        <v>28</v>
      </c>
      <c r="C4" s="16">
        <v>1500</v>
      </c>
      <c r="D4" s="16">
        <v>70</v>
      </c>
      <c r="E4" s="21">
        <f t="shared" si="0"/>
        <v>2.5</v>
      </c>
      <c r="F4" s="22">
        <f t="shared" si="1"/>
        <v>1866.6666666666667</v>
      </c>
    </row>
    <row r="5" spans="1:6" x14ac:dyDescent="0.3">
      <c r="A5" s="15" t="s">
        <v>52</v>
      </c>
      <c r="B5" s="16">
        <v>6</v>
      </c>
      <c r="C5" s="16">
        <v>2300</v>
      </c>
      <c r="D5" s="16">
        <v>38</v>
      </c>
      <c r="E5" s="21">
        <f t="shared" si="0"/>
        <v>6.333333333333333</v>
      </c>
      <c r="F5" s="22">
        <f t="shared" si="1"/>
        <v>260.86956521739131</v>
      </c>
    </row>
    <row r="6" spans="1:6" x14ac:dyDescent="0.3">
      <c r="A6" s="15" t="s">
        <v>53</v>
      </c>
      <c r="B6" s="16">
        <v>14</v>
      </c>
      <c r="C6" s="16">
        <v>3700</v>
      </c>
      <c r="D6" s="16">
        <v>72</v>
      </c>
      <c r="E6" s="21">
        <f t="shared" si="0"/>
        <v>5.1428571428571432</v>
      </c>
      <c r="F6" s="22">
        <f t="shared" si="1"/>
        <v>378.37837837837839</v>
      </c>
    </row>
    <row r="7" spans="1:6" x14ac:dyDescent="0.3">
      <c r="A7" s="15" t="s">
        <v>54</v>
      </c>
      <c r="B7" s="16">
        <v>20</v>
      </c>
      <c r="C7" s="16">
        <v>1300</v>
      </c>
      <c r="D7" s="16">
        <v>24</v>
      </c>
      <c r="E7" s="21">
        <f t="shared" si="0"/>
        <v>1.2</v>
      </c>
      <c r="F7" s="22">
        <f t="shared" si="1"/>
        <v>1538.4615384615386</v>
      </c>
    </row>
    <row r="8" spans="1:6" x14ac:dyDescent="0.3">
      <c r="A8" s="18" t="s">
        <v>55</v>
      </c>
      <c r="B8" s="19">
        <f>SUM(B2:B7)</f>
        <v>165</v>
      </c>
      <c r="C8" s="19">
        <f>SUM(C2:C7)</f>
        <v>19100</v>
      </c>
      <c r="D8" s="19">
        <f>SUM(D2:D7)</f>
        <v>432</v>
      </c>
      <c r="E8" s="23">
        <f t="shared" si="0"/>
        <v>2.6181818181818182</v>
      </c>
      <c r="F8" s="24">
        <f t="shared" si="1"/>
        <v>863.87434554973822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6" width="18" customWidth="1"/>
  </cols>
  <sheetData>
    <row r="1" spans="1:6" ht="31.5" customHeight="1" x14ac:dyDescent="0.3">
      <c r="A1" s="13" t="s">
        <v>21</v>
      </c>
      <c r="B1" s="13" t="s">
        <v>56</v>
      </c>
      <c r="C1" s="13" t="s">
        <v>57</v>
      </c>
      <c r="D1" s="13" t="s">
        <v>58</v>
      </c>
      <c r="E1" s="13" t="s">
        <v>59</v>
      </c>
      <c r="F1" s="14" t="s">
        <v>60</v>
      </c>
    </row>
    <row r="2" spans="1:6" x14ac:dyDescent="0.3">
      <c r="A2" s="15" t="s">
        <v>28</v>
      </c>
      <c r="B2" s="16">
        <v>3</v>
      </c>
      <c r="C2" s="16">
        <v>1</v>
      </c>
      <c r="D2" s="16">
        <v>94</v>
      </c>
      <c r="E2" s="16">
        <v>78</v>
      </c>
      <c r="F2" s="17">
        <f t="shared" ref="F2:F10" si="0">C2/D2</f>
        <v>1.0638297872340425E-2</v>
      </c>
    </row>
    <row r="3" spans="1:6" x14ac:dyDescent="0.3">
      <c r="A3" s="15" t="s">
        <v>29</v>
      </c>
      <c r="B3" s="16">
        <v>2</v>
      </c>
      <c r="C3" s="16">
        <v>1</v>
      </c>
      <c r="D3" s="16">
        <v>95</v>
      </c>
      <c r="E3" s="16">
        <v>78</v>
      </c>
      <c r="F3" s="17">
        <f t="shared" si="0"/>
        <v>1.0526315789473684E-2</v>
      </c>
    </row>
    <row r="4" spans="1:6" x14ac:dyDescent="0.3">
      <c r="A4" s="15" t="s">
        <v>30</v>
      </c>
      <c r="B4" s="16">
        <v>3</v>
      </c>
      <c r="C4" s="16">
        <v>1</v>
      </c>
      <c r="D4" s="16">
        <v>97</v>
      </c>
      <c r="E4" s="16">
        <v>77</v>
      </c>
      <c r="F4" s="17">
        <f t="shared" si="0"/>
        <v>1.0309278350515464E-2</v>
      </c>
    </row>
    <row r="5" spans="1:6" x14ac:dyDescent="0.3">
      <c r="A5" s="15" t="s">
        <v>31</v>
      </c>
      <c r="B5" s="16">
        <v>3</v>
      </c>
      <c r="C5" s="16">
        <v>2</v>
      </c>
      <c r="D5" s="16">
        <v>98</v>
      </c>
      <c r="E5" s="16">
        <v>76</v>
      </c>
      <c r="F5" s="17">
        <f t="shared" si="0"/>
        <v>2.0408163265306121E-2</v>
      </c>
    </row>
    <row r="6" spans="1:6" x14ac:dyDescent="0.3">
      <c r="A6" s="15" t="s">
        <v>32</v>
      </c>
      <c r="B6" s="16">
        <v>2</v>
      </c>
      <c r="C6" s="16">
        <v>2</v>
      </c>
      <c r="D6" s="16">
        <v>98</v>
      </c>
      <c r="E6" s="16">
        <v>74</v>
      </c>
      <c r="F6" s="17">
        <f t="shared" si="0"/>
        <v>2.0408163265306121E-2</v>
      </c>
    </row>
    <row r="7" spans="1:6" x14ac:dyDescent="0.3">
      <c r="A7" s="15" t="s">
        <v>33</v>
      </c>
      <c r="B7" s="16">
        <v>1</v>
      </c>
      <c r="C7" s="16">
        <v>3</v>
      </c>
      <c r="D7" s="16">
        <v>96</v>
      </c>
      <c r="E7" s="16">
        <v>71</v>
      </c>
      <c r="F7" s="17">
        <f t="shared" si="0"/>
        <v>3.125E-2</v>
      </c>
    </row>
    <row r="8" spans="1:6" x14ac:dyDescent="0.3">
      <c r="A8" s="15" t="s">
        <v>34</v>
      </c>
      <c r="B8" s="16">
        <v>2</v>
      </c>
      <c r="C8" s="16">
        <v>4</v>
      </c>
      <c r="D8" s="16">
        <v>94</v>
      </c>
      <c r="E8" s="16">
        <v>68</v>
      </c>
      <c r="F8" s="17">
        <f t="shared" si="0"/>
        <v>4.2553191489361701E-2</v>
      </c>
    </row>
    <row r="9" spans="1:6" x14ac:dyDescent="0.3">
      <c r="A9" s="15" t="s">
        <v>35</v>
      </c>
      <c r="B9" s="16">
        <v>3</v>
      </c>
      <c r="C9" s="16">
        <v>2</v>
      </c>
      <c r="D9" s="16">
        <v>95</v>
      </c>
      <c r="E9" s="16">
        <v>69</v>
      </c>
      <c r="F9" s="17">
        <f t="shared" si="0"/>
        <v>2.1052631578947368E-2</v>
      </c>
    </row>
    <row r="10" spans="1:6" x14ac:dyDescent="0.3">
      <c r="A10" s="15" t="s">
        <v>36</v>
      </c>
      <c r="B10" s="16">
        <v>4</v>
      </c>
      <c r="C10" s="16">
        <v>2</v>
      </c>
      <c r="D10" s="16">
        <v>97</v>
      </c>
      <c r="E10" s="16">
        <v>70</v>
      </c>
      <c r="F10" s="17">
        <f t="shared" si="0"/>
        <v>2.0618556701030927E-2</v>
      </c>
    </row>
    <row r="11" spans="1:6" x14ac:dyDescent="0.3">
      <c r="A11" s="18" t="s">
        <v>37</v>
      </c>
      <c r="B11" s="19">
        <f>SUM(B2:B10)</f>
        <v>23</v>
      </c>
      <c r="C11" s="19">
        <f>SUM(C2:C10)</f>
        <v>18</v>
      </c>
      <c r="D11" s="19">
        <f>D10</f>
        <v>97</v>
      </c>
      <c r="E11" s="19">
        <f>AVERAGE(E2:E10)</f>
        <v>73.444444444444443</v>
      </c>
      <c r="F11" s="20">
        <f>C11/AVERAGE(D2:D10)</f>
        <v>0.1875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7" width="18" customWidth="1"/>
  </cols>
  <sheetData>
    <row r="1" spans="1:7" ht="31.5" customHeight="1" x14ac:dyDescent="0.3">
      <c r="A1" s="13" t="s">
        <v>21</v>
      </c>
      <c r="B1" s="13" t="s">
        <v>61</v>
      </c>
      <c r="C1" s="13" t="s">
        <v>62</v>
      </c>
      <c r="D1" s="13" t="s">
        <v>63</v>
      </c>
      <c r="E1" s="13" t="s">
        <v>64</v>
      </c>
      <c r="F1" s="14" t="s">
        <v>65</v>
      </c>
      <c r="G1" s="14" t="s">
        <v>66</v>
      </c>
    </row>
    <row r="2" spans="1:7" x14ac:dyDescent="0.3">
      <c r="A2" s="15" t="s">
        <v>28</v>
      </c>
      <c r="B2" s="16">
        <v>140</v>
      </c>
      <c r="C2" s="16">
        <v>135</v>
      </c>
      <c r="D2" s="16">
        <v>9.5</v>
      </c>
      <c r="E2" s="16">
        <v>9.1999999999999993</v>
      </c>
      <c r="F2" s="17">
        <f t="shared" ref="F2:F11" si="0">C2/B2</f>
        <v>0.9642857142857143</v>
      </c>
      <c r="G2" s="17">
        <f t="shared" ref="G2:G11" si="1">(E2-D2)/D2</f>
        <v>-3.157894736842113E-2</v>
      </c>
    </row>
    <row r="3" spans="1:7" x14ac:dyDescent="0.3">
      <c r="A3" s="15" t="s">
        <v>29</v>
      </c>
      <c r="B3" s="16">
        <v>135</v>
      </c>
      <c r="C3" s="16">
        <v>131</v>
      </c>
      <c r="D3" s="16">
        <v>9.5</v>
      </c>
      <c r="E3" s="16">
        <v>9.4</v>
      </c>
      <c r="F3" s="17">
        <f t="shared" si="0"/>
        <v>0.97037037037037033</v>
      </c>
      <c r="G3" s="17">
        <f t="shared" si="1"/>
        <v>-1.0526315789473648E-2</v>
      </c>
    </row>
    <row r="4" spans="1:7" x14ac:dyDescent="0.3">
      <c r="A4" s="15" t="s">
        <v>30</v>
      </c>
      <c r="B4" s="16">
        <v>150</v>
      </c>
      <c r="C4" s="16">
        <v>142</v>
      </c>
      <c r="D4" s="16">
        <v>9.5</v>
      </c>
      <c r="E4" s="16">
        <v>9.6</v>
      </c>
      <c r="F4" s="17">
        <f t="shared" si="0"/>
        <v>0.94666666666666666</v>
      </c>
      <c r="G4" s="17">
        <f t="shared" si="1"/>
        <v>1.0526315789473648E-2</v>
      </c>
    </row>
    <row r="5" spans="1:7" x14ac:dyDescent="0.3">
      <c r="A5" s="15" t="s">
        <v>31</v>
      </c>
      <c r="B5" s="16">
        <v>148</v>
      </c>
      <c r="C5" s="16">
        <v>140</v>
      </c>
      <c r="D5" s="16">
        <v>9.5</v>
      </c>
      <c r="E5" s="16">
        <v>9.8000000000000007</v>
      </c>
      <c r="F5" s="17">
        <f t="shared" si="0"/>
        <v>0.94594594594594594</v>
      </c>
      <c r="G5" s="17">
        <f t="shared" si="1"/>
        <v>3.157894736842113E-2</v>
      </c>
    </row>
    <row r="6" spans="1:7" x14ac:dyDescent="0.3">
      <c r="A6" s="15" t="s">
        <v>32</v>
      </c>
      <c r="B6" s="16">
        <v>160</v>
      </c>
      <c r="C6" s="16">
        <v>150</v>
      </c>
      <c r="D6" s="16">
        <v>9.5</v>
      </c>
      <c r="E6" s="16">
        <v>10.1</v>
      </c>
      <c r="F6" s="17">
        <f t="shared" si="0"/>
        <v>0.9375</v>
      </c>
      <c r="G6" s="17">
        <f t="shared" si="1"/>
        <v>6.3157894736842066E-2</v>
      </c>
    </row>
    <row r="7" spans="1:7" x14ac:dyDescent="0.3">
      <c r="A7" s="15" t="s">
        <v>33</v>
      </c>
      <c r="B7" s="16">
        <v>172</v>
      </c>
      <c r="C7" s="16">
        <v>158</v>
      </c>
      <c r="D7" s="16">
        <v>9.5</v>
      </c>
      <c r="E7" s="16">
        <v>10.6</v>
      </c>
      <c r="F7" s="17">
        <f t="shared" si="0"/>
        <v>0.91860465116279066</v>
      </c>
      <c r="G7" s="17">
        <f t="shared" si="1"/>
        <v>0.11578947368421048</v>
      </c>
    </row>
    <row r="8" spans="1:7" x14ac:dyDescent="0.3">
      <c r="A8" s="15" t="s">
        <v>34</v>
      </c>
      <c r="B8" s="16">
        <v>185</v>
      </c>
      <c r="C8" s="16">
        <v>166</v>
      </c>
      <c r="D8" s="16">
        <v>9.5</v>
      </c>
      <c r="E8" s="16">
        <v>11.2</v>
      </c>
      <c r="F8" s="17">
        <f t="shared" si="0"/>
        <v>0.89729729729729735</v>
      </c>
      <c r="G8" s="17">
        <f t="shared" si="1"/>
        <v>0.17894736842105255</v>
      </c>
    </row>
    <row r="9" spans="1:7" x14ac:dyDescent="0.3">
      <c r="A9" s="15" t="s">
        <v>35</v>
      </c>
      <c r="B9" s="16">
        <v>170</v>
      </c>
      <c r="C9" s="16">
        <v>158</v>
      </c>
      <c r="D9" s="16">
        <v>9.5</v>
      </c>
      <c r="E9" s="16">
        <v>10.3</v>
      </c>
      <c r="F9" s="17">
        <f t="shared" si="0"/>
        <v>0.92941176470588238</v>
      </c>
      <c r="G9" s="17">
        <f t="shared" si="1"/>
        <v>8.4210526315789555E-2</v>
      </c>
    </row>
    <row r="10" spans="1:7" x14ac:dyDescent="0.3">
      <c r="A10" s="15" t="s">
        <v>36</v>
      </c>
      <c r="B10" s="16">
        <v>165</v>
      </c>
      <c r="C10" s="16">
        <v>158</v>
      </c>
      <c r="D10" s="16">
        <v>9.5</v>
      </c>
      <c r="E10" s="16">
        <v>9.9</v>
      </c>
      <c r="F10" s="17">
        <f t="shared" si="0"/>
        <v>0.95757575757575752</v>
      </c>
      <c r="G10" s="17">
        <f t="shared" si="1"/>
        <v>4.2105263157894778E-2</v>
      </c>
    </row>
    <row r="11" spans="1:7" x14ac:dyDescent="0.3">
      <c r="A11" s="18" t="s">
        <v>37</v>
      </c>
      <c r="B11" s="19">
        <f>SUM(B2:B10)</f>
        <v>1425</v>
      </c>
      <c r="C11" s="19">
        <f>SUM(C2:C10)</f>
        <v>1338</v>
      </c>
      <c r="D11" s="19">
        <f>SUM(D2:D10)</f>
        <v>85.5</v>
      </c>
      <c r="E11" s="19">
        <f>SUM(E2:E10)</f>
        <v>90.100000000000009</v>
      </c>
      <c r="F11" s="20">
        <f t="shared" si="0"/>
        <v>0.93894736842105264</v>
      </c>
      <c r="G11" s="20">
        <f t="shared" si="1"/>
        <v>5.3801169590643377E-2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Creative</vt:lpstr>
      <vt:lpstr>Sales</vt:lpstr>
      <vt:lpstr>Analytics</vt:lpstr>
      <vt:lpstr>HR</vt:lpstr>
      <vt:lpstr>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charu chawla</cp:lastModifiedBy>
  <cp:revision>1</cp:revision>
  <dcterms:created xsi:type="dcterms:W3CDTF">2026-10-06T10:33:02Z</dcterms:created>
  <dcterms:modified xsi:type="dcterms:W3CDTF">2026-10-06T11:11:02Z</dcterms:modified>
  <dc:language>en-US</dc:language>
</cp:coreProperties>
</file>